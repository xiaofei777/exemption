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 defaultThemeVersion="202300"/>
  <x15ac:absPath url="/Users/dayo/Downloads/"/>
  <bookViews>
    <workbookView activeTab="0"/>
  </bookViews>
  <sheets>
    <sheet name="总览" sheetId="1" r:id="rId3"/>
    <sheet name="中国地质大学" sheetId="2" r:id="rId4"/>
    <sheet name="武汉理工大学" sheetId="3" r:id="rId5"/>
    <sheet name="华中师范大学" sheetId="4" r:id="rId6"/>
  </sheets>
  <calcPr calcId="181029"/>
</workbook>
</file>

<file path=xl/sharedStrings.xml><?xml version="1.0" encoding="utf-8"?>
<sst xmlns="http://schemas.openxmlformats.org/spreadsheetml/2006/main" count="29" uniqueCount="29">
  <si>
    <t/>
  </si>
  <si>
    <t>序号</t>
  </si>
  <si>
    <t>导师姓名</t>
  </si>
  <si>
    <t>职称</t>
  </si>
  <si>
    <t>所属学院/团队</t>
  </si>
  <si>
    <t>研究方向</t>
  </si>
  <si>
    <t>邮箱</t>
  </si>
  <si>
    <t>套磁信版本</t>
  </si>
  <si>
    <t>计划发送日期</t>
  </si>
  <si>
    <t>实际发送日期</t>
  </si>
  <si>
    <t>跟进日期</t>
  </si>
  <si>
    <t>回复状态</t>
  </si>
  <si>
    <t>回复要点</t>
  </si>
  <si>
    <t>下一步行动</t>
  </si>
  <si>
    <t>备注</t>
  </si>
  <si>
    <t>保研套磁进度总览（陈飞扬 · 武汉科技大学 · 2026级）</t>
  </si>
  <si>
    <t>学校</t>
  </si>
  <si>
    <t>意向导师数</t>
  </si>
  <si>
    <t>已发送</t>
  </si>
  <si>
    <t>已回复</t>
  </si>
  <si>
    <t>有意向</t>
  </si>
  <si>
    <t>中国地质大学</t>
  </si>
  <si>
    <t>武汉理工大学</t>
  </si>
  <si>
    <t>华中师范大学</t>
  </si>
  <si>
    <t>使用说明：</t>
  </si>
  <si>
    <t>1. 每所学校一个子表（底部标签切换），导师按意向程度从上往下排；</t>
  </si>
  <si>
    <t>2. 「回复状态」建议取值：未发送 / 已发送 / 已回复 / 有意向 / 婉拒；</t>
  </si>
  <si>
    <t>3. 总览页数字自动统计，无需手填；</t>
  </si>
  <si>
    <t>4. 套磁信模板见「保研套磁信模板.md」，A版投工程型课题组、B版投研究型课题组。</t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</si>
</sst>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Aptos Narrow"/>
      <family val="2"/>
      <color theme="1"/>
      <sz val="12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</font>
    <font>
      <b val="1"/>
      <sz val="14"/>
    </font>
    <font>
      <color rgb="FF666666"/>
    </font>
    <font>
      <name val="Aptos Narrow"/>
      <family val="2"/>
      <color theme="1"/>
      <sz val="1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8DF"/>
        <bgColor rgb="FF4478DF"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6" fillId="0" borderId="1" xfId="0"/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fontId="3" fillId="2" borderId="0" xfId="0">
      <alignment horizontal="center" vertical="center"/>
    </xf>
    <xf fontId="4" fillId="0" borderId="0" xfId="0"/>
    <xf fontId="3" fillId="2" borderId="0" xfId="0">
      <alignment horizontal="center"/>
    </xf>
    <xf fontId="0" fillId="0" borderId="0" xfId="0">
      <alignment horizontal="center"/>
    </xf>
    <xf fontId="5" fillId="0" borderId="0" xfId="0"/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/>
  <dimension ref="A13"/>
  <sheetViews>
    <sheetView showGridLines="1" tabSelected="1" workbookViewId="0">
      <pane ySplit="1" topLeftCell="A2" state="frozen"/>
    </sheetView>
  </sheetViews>
  <sheetFormatPr baseColWidth="10" defaultRowHeight="16"/>
  <cols>
    <col min="1" max="6" width="16.6719" customWidth="1"/>
  </cols>
  <sheetData>
    <row r="1" spans="1:6">
      <c r="A1" s="5" t="s">
        <v>15</v>
      </c>
      <c r="B1" s="5" t="s"/>
      <c r="C1" s="5" t="s"/>
      <c r="D1" s="5" t="s"/>
      <c r="E1" s="5" t="s"/>
      <c r="F1" s="5" t="s"/>
    </row>
    <row r="3" spans="1:6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14</v>
      </c>
    </row>
    <row r="4" spans="1:6">
      <c r="A4" s="7" t="s">
        <v>21</v>
      </c>
      <c r="B4" s="7">
        <f>=COUNTA(中国地质大学!B2:B200)</f>
        <v>0</v>
      </c>
      <c r="C4" s="7">
        <f>=COUNTIF(中国地质大学!I2:I200,"&lt;&gt;")</f>
        <v>0</v>
      </c>
      <c r="D4" s="7">
        <f>=COUNTIF(中国地质大学!K2:K200,"已回复")+COUNTIF(中国地质大学!K2:K200,"有意向")</f>
        <v>0</v>
      </c>
      <c r="E4" s="7">
        <f>=COUNTIF(中国地质大学!K2:K200,"有意向")</f>
        <v>0</v>
      </c>
      <c r="F4" s="7" t="s"/>
    </row>
    <row r="5" spans="1:6">
      <c r="A5" s="7" t="s">
        <v>22</v>
      </c>
      <c r="B5" s="7">
        <f>=COUNTA(武汉理工大学!B2:B200)</f>
        <v>0</v>
      </c>
      <c r="C5" s="7">
        <f>=COUNTIF(武汉理工大学!I2:I200,"&lt;&gt;")</f>
        <v>0</v>
      </c>
      <c r="D5" s="7">
        <f>=COUNTIF(武汉理工大学!K2:K200,"已回复")+COUNTIF(武汉理工大学!K2:K200,"有意向")</f>
        <v>0</v>
      </c>
      <c r="E5" s="7">
        <f>=COUNTIF(武汉理工大学!K2:K200,"有意向")</f>
        <v>0</v>
      </c>
      <c r="F5" s="7" t="s"/>
    </row>
    <row r="6" spans="1:6">
      <c r="A6" s="7" t="s">
        <v>23</v>
      </c>
      <c r="B6" s="7">
        <f>=COUNTA(华中师范大学!B2:B200)</f>
        <v>0</v>
      </c>
      <c r="C6" s="7">
        <f>=COUNTIF(华中师范大学!I2:I200,"&lt;&gt;")</f>
        <v>0</v>
      </c>
      <c r="D6" s="7">
        <f>=COUNTIF(华中师范大学!K2:K200,"已回复")+COUNTIF(华中师范大学!K2:K200,"有意向")</f>
        <v>0</v>
      </c>
      <c r="E6" s="7">
        <f>=COUNTIF(华中师范大学!K2:K200,"有意向")</f>
        <v>0</v>
      </c>
      <c r="F6" s="7" t="s"/>
    </row>
    <row r="9" spans="1:1">
      <c r="A9" s="8" t="s">
        <v>24</v>
      </c>
    </row>
    <row r="10" spans="1:1">
      <c r="A10" s="8" t="s">
        <v>25</v>
      </c>
    </row>
    <row r="11" spans="1:1">
      <c r="A11" s="8" t="s">
        <v>26</v>
      </c>
    </row>
    <row r="12" spans="1:1">
      <c r="A12" s="8" t="s">
        <v>27</v>
      </c>
    </row>
    <row r="13" spans="1:1">
      <c r="A13" s="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A11"/>
  <sheetViews>
    <sheetView workbookViewId="0">
      <pane ySplit="1" topLeftCell="A2" state="frozen"/>
    </sheetView>
  </sheetViews>
  <cols>
    <col min="1" max="1" width="7.67188" customWidth="1"/>
    <col min="2" max="3" width="14.6719" customWidth="1"/>
    <col min="4" max="6" width="24.6719" customWidth="1"/>
    <col min="7" max="7" width="12.6719" customWidth="1"/>
    <col min="8" max="10" width="14.6719" customWidth="1"/>
    <col min="11" max="11" width="12.6719" customWidth="1"/>
    <col min="12" max="13" width="26.6719" customWidth="1"/>
    <col min="14" max="14" width="20.6719" customWidth="1"/>
  </cols>
  <sheetData>
    <row r="1" spans="1: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</sheetData>
</worksheet>
</file>

<file path=xl/worksheets/sheet3.xml><?xml version="1.0" encoding="utf-8"?>
<worksheet xmlns="http://schemas.openxmlformats.org/spreadsheetml/2006/main">
  <sheetPr/>
  <dimension ref="A11"/>
  <sheetViews>
    <sheetView workbookViewId="0">
      <pane ySplit="1" topLeftCell="A2" state="frozen"/>
    </sheetView>
  </sheetViews>
  <cols>
    <col min="1" max="1" width="7.67188" customWidth="1"/>
    <col min="2" max="3" width="14.6719" customWidth="1"/>
    <col min="4" max="6" width="24.6719" customWidth="1"/>
    <col min="7" max="7" width="12.6719" customWidth="1"/>
    <col min="8" max="10" width="14.6719" customWidth="1"/>
    <col min="11" max="11" width="12.6719" customWidth="1"/>
    <col min="12" max="13" width="26.6719" customWidth="1"/>
    <col min="14" max="14" width="20.6719" customWidth="1"/>
  </cols>
  <sheetData>
    <row r="1" spans="1: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</sheetData>
</worksheet>
</file>

<file path=xl/worksheets/sheet4.xml><?xml version="1.0" encoding="utf-8"?>
<worksheet xmlns="http://schemas.openxmlformats.org/spreadsheetml/2006/main">
  <sheetPr/>
  <dimension ref="A11"/>
  <sheetViews>
    <sheetView workbookViewId="0">
      <pane ySplit="1" topLeftCell="A2" state="frozen"/>
    </sheetView>
  </sheetViews>
  <cols>
    <col min="1" max="1" width="7.67188" customWidth="1"/>
    <col min="2" max="3" width="14.6719" customWidth="1"/>
    <col min="4" max="6" width="24.6719" customWidth="1"/>
    <col min="7" max="7" width="12.6719" customWidth="1"/>
    <col min="8" max="10" width="14.6719" customWidth="1"/>
    <col min="11" max="11" width="12.6719" customWidth="1"/>
    <col min="12" max="13" width="26.6719" customWidth="1"/>
    <col min="14" max="14" width="20.6719" customWidth="1"/>
  </cols>
  <sheetData>
    <row r="1" spans="1: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2026-09-06T18:00:04Z</dcterms:created>
  <dcterms:modified xsi:type="dcterms:W3CDTF">2026-09-06T18:00:04Z</dcterms:modified>
</cp:coreProperties>
</file>